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<sst xmlns="http://schemas.openxmlformats.org/spreadsheetml/2006/main" count="57" uniqueCount="53">
  <si>
    <t>Dockslide 2.4 r2 350 Bill Of Material</t>
  </si>
  <si>
    <t>Bom subjected to changes based on feedbacks and hardware availability.</t>
  </si>
  <si>
    <t>Bom does not include panel clip/latch, door hinge and their respective hardwares.</t>
  </si>
  <si>
    <t>Item</t>
  </si>
  <si>
    <t>Quantity</t>
  </si>
  <si>
    <t>Description</t>
  </si>
  <si>
    <t>Source link</t>
  </si>
  <si>
    <t>Remarks</t>
  </si>
  <si>
    <t>2020 T-slot extrusion 880mm</t>
  </si>
  <si>
    <t>Tophat height is 350mm</t>
  </si>
  <si>
    <t>Use the calculator below to get the required front extrusion length and rail length. Tophat height may be affected by bed size and umbilical length.</t>
  </si>
  <si>
    <t>2020 T-slot extrusion 490mm</t>
  </si>
  <si>
    <t>2020 T-slot extrusion 470mm</t>
  </si>
  <si>
    <t>2020 T-slot extrusion 400mm</t>
  </si>
  <si>
    <t>2020 T-slot extrusion 350mm</t>
  </si>
  <si>
    <t>MGN9C + Rail 550mm</t>
  </si>
  <si>
    <t>GT2 20T Pulley 9mm Belt ID5</t>
  </si>
  <si>
    <t>10mm belt is fine too.</t>
  </si>
  <si>
    <t>GT2 20T Toothed Idler 9mm Belt ID5</t>
  </si>
  <si>
    <t>10mm belt idler is fine too.</t>
  </si>
  <si>
    <t>Gates Belt 9mm 1.7metres</t>
  </si>
  <si>
    <t>Nema 17 Stepper</t>
  </si>
  <si>
    <t>LDO-42STH40-1684AC</t>
  </si>
  <si>
    <t>Recommended Motor</t>
  </si>
  <si>
    <t>Micro switch</t>
  </si>
  <si>
    <t>m3 heat insert</t>
  </si>
  <si>
    <t>m3xod5x4</t>
  </si>
  <si>
    <t>m3 x 8mm bhcs</t>
  </si>
  <si>
    <t>m3 x 20mm bhcs</t>
  </si>
  <si>
    <t>m3 x 25mm shcs</t>
  </si>
  <si>
    <t>m3 x 40mm shcs</t>
  </si>
  <si>
    <t>m5 x 10mm bhcs</t>
  </si>
  <si>
    <t>m5 x 20mm bhcs</t>
  </si>
  <si>
    <t>2020 hidden corner bracket</t>
  </si>
  <si>
    <t>If not using blind joints</t>
  </si>
  <si>
    <t>2020 parallel joint</t>
  </si>
  <si>
    <t>2020 straight line joint</t>
  </si>
  <si>
    <t>Panels</t>
  </si>
  <si>
    <t>Top 504 x 484mm</t>
  </si>
  <si>
    <t>Transparent</t>
  </si>
  <si>
    <t>Sides 504 x 344mm</t>
  </si>
  <si>
    <t>Back 484 x 344mm</t>
  </si>
  <si>
    <t>Opaque</t>
  </si>
  <si>
    <t>Door 241.5 x 853.5mm</t>
  </si>
  <si>
    <t>Dockslide Required Length Calculator</t>
  </si>
  <si>
    <t>Enter Length</t>
  </si>
  <si>
    <t>Required Length</t>
  </si>
  <si>
    <t>Step 1. To calculate the required dockslide vertical extrusion length, enter yr printer front vertical extrusion length</t>
  </si>
  <si>
    <t>Length may be affected by bed size and umbilical length.</t>
  </si>
  <si>
    <t>Step 2. To calculate the required rail length, enter yr dockslide required vertical extrusion length</t>
  </si>
  <si>
    <t>Step 3. To calculate dock extrusion bar length, enter yr printer horizontal extrusion length</t>
  </si>
  <si>
    <t xml:space="preserve">Step 4. To calculate the maximum number of tools you can install, enter dock extrusion bar length </t>
  </si>
  <si>
    <t>Round down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</si>
</sst>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3" numFmtId="0" xfId="0" applyAlignment="1" applyBorder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6" fillId="4" fontId="5" numFmtId="0" xfId="0" applyAlignment="1" applyBorder="1" applyFill="1" applyFont="1">
      <alignment horizontal="center" readingOrder="0" vertical="bottom"/>
    </xf>
    <xf borderId="7" fillId="4" fontId="5" numFmtId="0" xfId="0" applyAlignment="1" applyBorder="1" applyFont="1">
      <alignment horizontal="center" vertical="bottom"/>
    </xf>
    <xf borderId="7" fillId="4" fontId="5" numFmtId="0" xfId="0" applyAlignment="1" applyBorder="1" applyFont="1">
      <alignment vertical="bottom"/>
    </xf>
    <xf borderId="8" fillId="4" fontId="5" numFmtId="0" xfId="0" applyAlignment="1" applyBorder="1" applyFont="1">
      <alignment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2" numFmtId="0" xfId="0" applyBorder="1" applyFont="1"/>
    <xf borderId="10" fillId="0" fontId="4" numFmtId="0" xfId="0" applyBorder="1" applyFont="1"/>
    <xf borderId="11" fillId="0" fontId="2" numFmtId="0" xfId="0" applyBorder="1" applyFont="1"/>
    <xf borderId="5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1" fillId="5" fontId="6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/>
    </xf>
    <xf borderId="0" fillId="4" fontId="4" numFmtId="0" xfId="0" applyAlignment="1" applyFont="1">
      <alignment horizontal="center" readingOrder="0"/>
    </xf>
    <xf borderId="5" fillId="4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  <xf borderId="0" fillId="6" fontId="4" numFmtId="0" xfId="0" applyAlignment="1" applyFill="1" applyFont="1">
      <alignment horizont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left" readingOrder="0"/>
    </xf>
    <xf borderId="10" fillId="0" fontId="4" numFmtId="0" xfId="0" applyAlignment="1" applyBorder="1" applyFont="1">
      <alignment horizontal="center" readingOrder="0"/>
    </xf>
    <xf borderId="10" fillId="6" fontId="4" numFmtId="4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  <col customWidth="1" min="2" max="2" width="12.0"/>
    <col customWidth="1" min="3" max="3" width="18.75"/>
    <col customWidth="1" min="4" max="4" width="13.38"/>
    <col customWidth="1" min="5" max="5" width="43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E2" s="5"/>
    </row>
    <row r="3">
      <c r="A3" s="6" t="s">
        <v>2</v>
      </c>
      <c r="E3" s="5"/>
    </row>
    <row r="4">
      <c r="A4" s="7"/>
      <c r="E4" s="8"/>
    </row>
    <row r="5">
      <c r="A5" s="9" t="s">
        <v>3</v>
      </c>
      <c r="B5" s="10" t="s">
        <v>4</v>
      </c>
      <c r="C5" s="11" t="s">
        <v>5</v>
      </c>
      <c r="D5" s="11" t="s">
        <v>6</v>
      </c>
      <c r="E5" s="12" t="s">
        <v>7</v>
      </c>
    </row>
    <row r="6">
      <c r="A6" s="13" t="s">
        <v>8</v>
      </c>
      <c r="B6" s="14">
        <v>2.0</v>
      </c>
      <c r="C6" s="15" t="s">
        <v>9</v>
      </c>
      <c r="D6" s="16"/>
      <c r="E6" s="17" t="s">
        <v>10</v>
      </c>
      <c r="F6" s="18"/>
    </row>
    <row r="7">
      <c r="A7" s="19" t="s">
        <v>11</v>
      </c>
      <c r="B7" s="20">
        <v>2.0</v>
      </c>
      <c r="E7" s="5"/>
    </row>
    <row r="8">
      <c r="A8" s="19" t="s">
        <v>12</v>
      </c>
      <c r="B8" s="20">
        <v>2.0</v>
      </c>
      <c r="E8" s="5"/>
    </row>
    <row r="9">
      <c r="A9" s="19" t="s">
        <v>13</v>
      </c>
      <c r="B9" s="20">
        <v>1.0</v>
      </c>
      <c r="E9" s="5"/>
    </row>
    <row r="10">
      <c r="A10" s="19" t="s">
        <v>14</v>
      </c>
      <c r="B10" s="20">
        <v>2.0</v>
      </c>
      <c r="E10" s="5"/>
    </row>
    <row r="11">
      <c r="A11" s="21" t="s">
        <v>15</v>
      </c>
      <c r="B11" s="22">
        <v>2.0</v>
      </c>
      <c r="C11" s="23"/>
      <c r="D11" s="24"/>
      <c r="E11" s="25"/>
    </row>
    <row r="12">
      <c r="A12" s="19" t="s">
        <v>16</v>
      </c>
      <c r="B12" s="20">
        <v>2.0</v>
      </c>
      <c r="E12" s="26" t="s">
        <v>17</v>
      </c>
      <c r="F12" s="18"/>
    </row>
    <row r="13">
      <c r="A13" s="19" t="s">
        <v>18</v>
      </c>
      <c r="B13" s="20">
        <v>2.0</v>
      </c>
      <c r="E13" s="26" t="s">
        <v>19</v>
      </c>
    </row>
    <row r="14">
      <c r="A14" s="19" t="s">
        <v>20</v>
      </c>
      <c r="B14" s="20">
        <v>2.0</v>
      </c>
      <c r="E14" s="8"/>
    </row>
    <row r="15">
      <c r="A15" s="19" t="s">
        <v>21</v>
      </c>
      <c r="B15" s="20">
        <v>2.0</v>
      </c>
      <c r="C15" s="20" t="s">
        <v>22</v>
      </c>
      <c r="E15" s="26" t="s">
        <v>23</v>
      </c>
    </row>
    <row r="16">
      <c r="A16" s="19" t="s">
        <v>24</v>
      </c>
      <c r="B16" s="20">
        <v>2.0</v>
      </c>
      <c r="C16" s="20"/>
      <c r="E16" s="26"/>
    </row>
    <row r="17">
      <c r="A17" s="19" t="s">
        <v>25</v>
      </c>
      <c r="B17" s="20">
        <v>2.0</v>
      </c>
      <c r="E17" s="26" t="s">
        <v>26</v>
      </c>
    </row>
    <row r="18">
      <c r="A18" s="19" t="s">
        <v>27</v>
      </c>
      <c r="B18" s="20">
        <v>8.0</v>
      </c>
      <c r="E18" s="8"/>
    </row>
    <row r="19">
      <c r="A19" s="19" t="s">
        <v>28</v>
      </c>
      <c r="B19" s="20">
        <v>2.0</v>
      </c>
      <c r="C19" s="20"/>
      <c r="E19" s="26"/>
    </row>
    <row r="20">
      <c r="A20" s="19" t="s">
        <v>29</v>
      </c>
      <c r="B20" s="20">
        <v>8.0</v>
      </c>
      <c r="E20" s="8"/>
    </row>
    <row r="21">
      <c r="A21" s="19" t="s">
        <v>30</v>
      </c>
      <c r="B21" s="20">
        <v>2.0</v>
      </c>
      <c r="E21" s="8"/>
    </row>
    <row r="22">
      <c r="A22" s="19" t="s">
        <v>31</v>
      </c>
      <c r="B22" s="20">
        <v>18.0</v>
      </c>
      <c r="C22" s="20"/>
      <c r="E22" s="26"/>
    </row>
    <row r="23">
      <c r="A23" s="19" t="s">
        <v>32</v>
      </c>
      <c r="B23" s="20">
        <v>2.0</v>
      </c>
      <c r="C23" s="20"/>
      <c r="E23" s="26"/>
    </row>
    <row r="24">
      <c r="A24" s="19" t="s">
        <v>33</v>
      </c>
      <c r="B24" s="20">
        <v>16.0</v>
      </c>
      <c r="E24" s="26" t="s">
        <v>34</v>
      </c>
    </row>
    <row r="25">
      <c r="A25" s="19" t="s">
        <v>35</v>
      </c>
      <c r="B25" s="20">
        <v>4.0</v>
      </c>
      <c r="E25" s="26"/>
    </row>
    <row r="26">
      <c r="A26" s="21" t="s">
        <v>36</v>
      </c>
      <c r="B26" s="22">
        <v>2.0</v>
      </c>
      <c r="C26" s="24"/>
      <c r="D26" s="24"/>
      <c r="E26" s="27"/>
    </row>
    <row r="27">
      <c r="A27" s="20"/>
    </row>
    <row r="28">
      <c r="A28" s="28" t="s">
        <v>37</v>
      </c>
    </row>
    <row r="29">
      <c r="A29" s="20" t="s">
        <v>38</v>
      </c>
      <c r="B29" s="20">
        <v>1.0</v>
      </c>
      <c r="C29" s="20" t="s">
        <v>39</v>
      </c>
    </row>
    <row r="30">
      <c r="A30" s="20" t="s">
        <v>40</v>
      </c>
      <c r="B30" s="20">
        <v>2.0</v>
      </c>
      <c r="C30" s="20" t="s">
        <v>39</v>
      </c>
    </row>
    <row r="31">
      <c r="A31" s="20" t="s">
        <v>41</v>
      </c>
      <c r="B31" s="20">
        <v>1.0</v>
      </c>
      <c r="C31" s="20" t="s">
        <v>42</v>
      </c>
    </row>
    <row r="32">
      <c r="A32" s="20" t="s">
        <v>43</v>
      </c>
      <c r="B32" s="20">
        <v>2.0</v>
      </c>
      <c r="C32" s="20" t="s">
        <v>39</v>
      </c>
    </row>
    <row r="33">
      <c r="A33" s="20"/>
    </row>
    <row r="34">
      <c r="A34" s="29" t="s">
        <v>44</v>
      </c>
      <c r="B34" s="2"/>
      <c r="C34" s="2"/>
      <c r="D34" s="2"/>
      <c r="E34" s="3"/>
    </row>
    <row r="35">
      <c r="A35" s="30" t="s">
        <v>5</v>
      </c>
      <c r="B35" s="31"/>
      <c r="C35" s="32" t="s">
        <v>45</v>
      </c>
      <c r="D35" s="32" t="s">
        <v>46</v>
      </c>
      <c r="E35" s="33" t="s">
        <v>7</v>
      </c>
    </row>
    <row r="36">
      <c r="A36" s="34" t="s">
        <v>47</v>
      </c>
      <c r="C36" s="35">
        <v>530.0</v>
      </c>
      <c r="D36" s="36">
        <f>SUM(C36+350)</f>
        <v>880</v>
      </c>
      <c r="E36" s="37" t="s">
        <v>48</v>
      </c>
    </row>
    <row r="37">
      <c r="A37" s="34" t="s">
        <v>49</v>
      </c>
      <c r="C37" s="35">
        <v>880.0</v>
      </c>
      <c r="D37" s="36">
        <f>SUM(C37-330)</f>
        <v>550</v>
      </c>
      <c r="E37" s="5"/>
    </row>
    <row r="38">
      <c r="A38" s="34" t="s">
        <v>50</v>
      </c>
      <c r="C38" s="35">
        <v>470.0</v>
      </c>
      <c r="D38" s="36">
        <f>SUM(C38-70)</f>
        <v>400</v>
      </c>
      <c r="E38" s="38"/>
    </row>
    <row r="39">
      <c r="A39" s="39" t="s">
        <v>51</v>
      </c>
      <c r="B39" s="23"/>
      <c r="C39" s="40">
        <v>400.0</v>
      </c>
      <c r="D39" s="41">
        <f>SUM(C39-22)/(63)</f>
        <v>6</v>
      </c>
      <c r="E39" s="42" t="s">
        <v>52</v>
      </c>
    </row>
  </sheetData>
  <mergeCells count="11">
    <mergeCell ref="A36:B36"/>
    <mergeCell ref="A37:B37"/>
    <mergeCell ref="A38:B38"/>
    <mergeCell ref="A39:B39"/>
    <mergeCell ref="E36:E37"/>
    <mergeCell ref="A1:E1"/>
    <mergeCell ref="A2:E2"/>
    <mergeCell ref="C6:C11"/>
    <mergeCell ref="E6:E11"/>
    <mergeCell ref="A34:E34"/>
    <mergeCell ref="A3:E3"/>
  </mergeCells>
  <drawing r:id="rId1"/>
</worksheet>
</file>